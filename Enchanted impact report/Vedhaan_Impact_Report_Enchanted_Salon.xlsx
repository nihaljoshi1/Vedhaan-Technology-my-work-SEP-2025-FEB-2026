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dhaan Impact Summary" sheetId="1" state="visible" r:id="rId1"/>
    <sheet xmlns:r="http://schemas.openxmlformats.org/officeDocument/2006/relationships" name="Business Data Consolidation" sheetId="2" state="visible" r:id="rId2"/>
    <sheet xmlns:r="http://schemas.openxmlformats.org/officeDocument/2006/relationships" name="Google Business Profile Data" sheetId="3" state="visible" r:id="rId3"/>
    <sheet xmlns:r="http://schemas.openxmlformats.org/officeDocument/2006/relationships" name="Instagram Performance (Post Vedhaan)" sheetId="4" state="visible" r:id="rId4"/>
    <sheet xmlns:r="http://schemas.openxmlformats.org/officeDocument/2006/relationships" name="Data Integrity &amp; Disclo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  <b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Metric</t>
        </is>
      </c>
      <c r="B1" s="1" t="inlineStr">
        <is>
          <t>Before Vedhaan</t>
        </is>
      </c>
      <c r="C1" s="1" t="inlineStr">
        <is>
          <t>After Vedhaan</t>
        </is>
      </c>
      <c r="D1" s="1" t="inlineStr">
        <is>
          <t>Absolute Difference</t>
        </is>
      </c>
      <c r="E1" s="1" t="inlineStr">
        <is>
          <t>% Change</t>
        </is>
      </c>
    </row>
    <row r="2">
      <c r="A2" t="inlineStr">
        <is>
          <t>Total Appointments</t>
        </is>
      </c>
      <c r="B2" t="inlineStr"/>
      <c r="C2" t="inlineStr"/>
      <c r="D2">
        <f>C2-B2</f>
        <v/>
      </c>
      <c r="E2">
        <f>IF(B2=0,"-", (C2-B2)/B2)</f>
        <v/>
      </c>
    </row>
    <row r="3">
      <c r="A3" t="inlineStr">
        <is>
          <t>Total Revenue (₹)</t>
        </is>
      </c>
      <c r="B3" t="inlineStr"/>
      <c r="C3" t="inlineStr"/>
      <c r="D3">
        <f>C3-B3</f>
        <v/>
      </c>
      <c r="E3">
        <f>IF(B3=0,"-", (C3-B3)/B3)</f>
        <v/>
      </c>
    </row>
    <row r="4">
      <c r="A4" t="inlineStr">
        <is>
          <t>Average Bill Value (₹)</t>
        </is>
      </c>
      <c r="B4" t="inlineStr"/>
      <c r="C4" t="inlineStr"/>
      <c r="D4">
        <f>C4-B4</f>
        <v/>
      </c>
      <c r="E4">
        <f>IF(B4=0,"-", (C4-B4)/B4)</f>
        <v/>
      </c>
    </row>
    <row r="5">
      <c r="A5" t="inlineStr">
        <is>
          <t>Unique Clients</t>
        </is>
      </c>
      <c r="B5" t="inlineStr"/>
      <c r="C5" t="inlineStr"/>
      <c r="D5">
        <f>C5-B5</f>
        <v/>
      </c>
      <c r="E5">
        <f>IF(B5=0,"-", (C5-B5)/B5)</f>
        <v/>
      </c>
    </row>
    <row r="6">
      <c r="A6" t="inlineStr">
        <is>
          <t>High-Ticket Services (₹1500+)</t>
        </is>
      </c>
      <c r="B6" t="inlineStr"/>
      <c r="C6" t="inlineStr"/>
      <c r="D6">
        <f>C6-B6</f>
        <v/>
      </c>
      <c r="E6">
        <f>IF(B6=0,"-", (C6-B6)/B6)</f>
        <v/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Business Profile Interactions</t>
        </is>
      </c>
      <c r="B8">
        <f>'Google Business Profile Data'!B2</f>
        <v/>
      </c>
      <c r="C8">
        <f>'Google Business Profile Data'!B3</f>
        <v/>
      </c>
      <c r="D8">
        <f>C8-B8</f>
        <v/>
      </c>
      <c r="E8">
        <f>IF(B8=0,"-", (C8-B8)/B8)</f>
        <v/>
      </c>
    </row>
    <row r="9">
      <c r="A9" t="inlineStr">
        <is>
          <t>Profile Views</t>
        </is>
      </c>
      <c r="B9">
        <f>'Google Business Profile Data'!C2</f>
        <v/>
      </c>
      <c r="C9">
        <f>'Google Business Profile Data'!C3</f>
        <v/>
      </c>
      <c r="D9">
        <f>C9-B9</f>
        <v/>
      </c>
      <c r="E9">
        <f>IF(B9=0,"-", (C9-B9)/B9)</f>
        <v/>
      </c>
    </row>
    <row r="10">
      <c r="A10" t="inlineStr">
        <is>
          <t>Search Appearances</t>
        </is>
      </c>
      <c r="B10">
        <f>'Google Business Profile Data'!D2</f>
        <v/>
      </c>
      <c r="C10">
        <f>'Google Business Profile Data'!D3</f>
        <v/>
      </c>
      <c r="D10">
        <f>C10-B10</f>
        <v/>
      </c>
      <c r="E10">
        <f>IF(B10=0,"-", (C10-B10)/B10)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Total Appointments</t>
        </is>
      </c>
      <c r="C1" s="1" t="inlineStr">
        <is>
          <t>Cancelled Appointments</t>
        </is>
      </c>
      <c r="D1" s="1" t="inlineStr">
        <is>
          <t>Net Revenue (₹)</t>
        </is>
      </c>
      <c r="E1" s="1" t="inlineStr">
        <is>
          <t>Unique Clients</t>
        </is>
      </c>
      <c r="F1" s="1" t="inlineStr">
        <is>
          <t>High-Ticket Services</t>
        </is>
      </c>
    </row>
    <row r="2">
      <c r="A2" t="inlineStr">
        <is>
          <t>Before Vedhaan (Jul–Sep)</t>
        </is>
      </c>
      <c r="B2" t="inlineStr"/>
      <c r="C2" t="inlineStr"/>
      <c r="D2" t="inlineStr"/>
      <c r="E2" t="inlineStr"/>
      <c r="F2" t="inlineStr"/>
    </row>
    <row r="3">
      <c r="A3" t="inlineStr">
        <is>
          <t>After Vedhaan (Oct–Dec)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Period</t>
        </is>
      </c>
      <c r="B1" s="1" t="inlineStr">
        <is>
          <t>Profile Interactions</t>
        </is>
      </c>
      <c r="C1" s="1" t="inlineStr">
        <is>
          <t>Profile Views</t>
        </is>
      </c>
      <c r="D1" s="1" t="inlineStr">
        <is>
          <t>Search Appearances</t>
        </is>
      </c>
    </row>
    <row r="2">
      <c r="A2" t="inlineStr">
        <is>
          <t>Before Vedhaan (Aug–Sep)</t>
        </is>
      </c>
      <c r="B2" t="n">
        <v>301</v>
      </c>
      <c r="C2" t="n">
        <v>3150</v>
      </c>
      <c r="D2" t="n">
        <v>926</v>
      </c>
    </row>
    <row r="3">
      <c r="A3" t="inlineStr">
        <is>
          <t>After Vedhaan (Oct–Dec)</t>
        </is>
      </c>
      <c r="B3" t="n">
        <v>547</v>
      </c>
      <c r="C3" t="n">
        <v>6010</v>
      </c>
      <c r="D3" t="n">
        <v>1480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Business Meaning</t>
        </is>
      </c>
    </row>
    <row r="2">
      <c r="A2" t="inlineStr">
        <is>
          <t>Total Views</t>
        </is>
      </c>
      <c r="B2" t="n">
        <v>29175</v>
      </c>
      <c r="C2" t="inlineStr">
        <is>
          <t>Brand visibility</t>
        </is>
      </c>
    </row>
    <row r="3">
      <c r="A3" t="inlineStr">
        <is>
          <t>Accounts Reached</t>
        </is>
      </c>
      <c r="B3" t="n">
        <v>15054</v>
      </c>
      <c r="C3" t="inlineStr">
        <is>
          <t>Local discovery</t>
        </is>
      </c>
    </row>
    <row r="4">
      <c r="A4" t="inlineStr">
        <is>
          <t>Non-Follower Reach %</t>
        </is>
      </c>
      <c r="B4" t="inlineStr">
        <is>
          <t>83%</t>
        </is>
      </c>
      <c r="C4" t="inlineStr">
        <is>
          <t>New audience</t>
        </is>
      </c>
    </row>
    <row r="5">
      <c r="A5" t="inlineStr">
        <is>
          <t>Total Interactions</t>
        </is>
      </c>
      <c r="B5" t="n">
        <v>175</v>
      </c>
      <c r="C5" t="inlineStr">
        <is>
          <t>Engagement</t>
        </is>
      </c>
    </row>
    <row r="6">
      <c r="A6" t="inlineStr">
        <is>
          <t>DM Conversations Started</t>
        </is>
      </c>
      <c r="B6" t="n">
        <v>13</v>
      </c>
      <c r="C6" t="inlineStr">
        <is>
          <t>Lead intent</t>
        </is>
      </c>
    </row>
    <row r="7">
      <c r="A7" t="inlineStr">
        <is>
          <t>Profile Visits</t>
        </is>
      </c>
      <c r="B7" t="n">
        <v>437</v>
      </c>
      <c r="C7" t="inlineStr">
        <is>
          <t>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Disclosure</t>
        </is>
      </c>
    </row>
    <row r="2">
      <c r="A2" t="inlineStr">
        <is>
          <t>Business performance data aggregated from Easy Salon &amp; Spa software exports.</t>
        </is>
      </c>
    </row>
    <row r="3">
      <c r="A3" t="inlineStr">
        <is>
          <t>July–September data grouped as pre-Vedhaan baseline.</t>
        </is>
      </c>
    </row>
    <row r="4">
      <c r="A4" t="inlineStr">
        <is>
          <t>October–December data grouped as post-Vedhaan impact; October is a partial onboarding month.</t>
        </is>
      </c>
    </row>
    <row r="5">
      <c r="A5" t="inlineStr">
        <is>
          <t>Cancelled and zero-value appointments excluded from revenue calculations.</t>
        </is>
      </c>
    </row>
    <row r="6">
      <c r="A6" t="inlineStr">
        <is>
          <t>Google Business Profile comparison based on Aug–Sept vs Oct–Dec due to data availability.</t>
        </is>
      </c>
    </row>
    <row r="7">
      <c r="A7" t="inlineStr">
        <is>
          <t>Instagram historical data prior to engagement was unavailable.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2026-01-02T11:16:54Z</dcterms:created>
  <dcterms:modified xmlns:dcterms="http://purl.org/dc/terms/" xmlns:xsi="http://www.w3.org/2001/XMLSchema-instance" xsi:type="dcterms:W3CDTF">2026-01-02T11:16:54Z</dcterms:modified>
</cp:coreProperties>
</file>